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74AECE-BCD6-490C-9D21-63907981D834}" xr6:coauthVersionLast="44" xr6:coauthVersionMax="44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" sheetId="8" r:id="rId3"/>
  </sheets>
  <definedNames>
    <definedName name="ExternalData_1" localSheetId="2" hidden="1">Solution!$A$1:$J$32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2" i="8" l="1"/>
  <c r="D2" i="8"/>
  <c r="D3" i="8"/>
  <c r="D4" i="8"/>
  <c r="D5" i="8"/>
  <c r="D6" i="8"/>
  <c r="D7" i="8"/>
  <c r="D8" i="8"/>
  <c r="C8" i="8" s="1"/>
  <c r="D9" i="8"/>
  <c r="C9" i="8" s="1"/>
  <c r="D10" i="8"/>
  <c r="D11" i="8"/>
  <c r="D12" i="8"/>
  <c r="D13" i="8"/>
  <c r="D14" i="8"/>
  <c r="D15" i="8"/>
  <c r="D16" i="8"/>
  <c r="C16" i="8" s="1"/>
  <c r="D17" i="8"/>
  <c r="C17" i="8" s="1"/>
  <c r="D18" i="8"/>
  <c r="D19" i="8"/>
  <c r="D20" i="8"/>
  <c r="D21" i="8"/>
  <c r="D22" i="8"/>
  <c r="D23" i="8"/>
  <c r="D24" i="8"/>
  <c r="C24" i="8" s="1"/>
  <c r="D25" i="8"/>
  <c r="C25" i="8" s="1"/>
  <c r="D26" i="8"/>
  <c r="D27" i="8"/>
  <c r="D28" i="8"/>
  <c r="D29" i="8"/>
  <c r="D30" i="8"/>
  <c r="D31" i="8"/>
  <c r="D32" i="8"/>
  <c r="C32" i="8" s="1"/>
  <c r="C3" i="8"/>
  <c r="C4" i="8"/>
  <c r="C5" i="8"/>
  <c r="C6" i="8"/>
  <c r="C7" i="8"/>
  <c r="C10" i="8"/>
  <c r="C11" i="8"/>
  <c r="C12" i="8"/>
  <c r="C13" i="8"/>
  <c r="C14" i="8"/>
  <c r="C15" i="8"/>
  <c r="C18" i="8"/>
  <c r="C19" i="8"/>
  <c r="C20" i="8"/>
  <c r="C21" i="8"/>
  <c r="C22" i="8"/>
  <c r="C23" i="8"/>
  <c r="C26" i="8"/>
  <c r="C27" i="8"/>
  <c r="C28" i="8"/>
  <c r="C29" i="8"/>
  <c r="C30" i="8"/>
  <c r="C31" i="8"/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57B61-36DC-4480-904A-49BAC6B2EC21}" keepAlive="1" name="Query - Dataset" description="Connection to the 'Dataset' query in the workbook." type="5" refreshedVersion="6" background="1" saveData="1">
    <dbPr connection="Provider=Microsoft.Mashup.OleDb.1;Data Source=$Workbook$;Location=Dataset;Extended Properties=&quot;&quot;" command="SELECT * FROM [Dataset]"/>
  </connection>
  <connection id="2" xr16:uid="{201C747F-61EF-42F3-84B6-74A05D734A73}" keepAlive="1" name="Query - Dataset (2)" description="Connection to the 'Dataset (2)' query in the workbook." type="5" refreshedVersion="6" background="1" saveData="1">
    <dbPr connection="Provider=Microsoft.Mashup.OleDb.1;Data Source=$Workbook$;Location=Dataset (2);Extended Properties=&quot;&quot;" command="SELECT * FROM [Dataset (2)]"/>
  </connection>
</connections>
</file>

<file path=xl/sharedStrings.xml><?xml version="1.0" encoding="utf-8"?>
<sst xmlns="http://schemas.openxmlformats.org/spreadsheetml/2006/main" count="322" uniqueCount="165">
  <si>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</si>
  <si>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</si>
  <si>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</si>
  <si>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</si>
  <si>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</si>
  <si>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</si>
  <si>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</si>
  <si>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</si>
  <si>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</si>
  <si>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</si>
  <si>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</si>
  <si>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</si>
  <si>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</si>
  <si>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</si>
  <si>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</si>
  <si>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</si>
  <si>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</si>
  <si>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</si>
  <si>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</si>
  <si>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</si>
  <si>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</si>
  <si>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</si>
  <si>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</si>
  <si>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</si>
  <si>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</si>
  <si>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</si>
  <si>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</si>
  <si>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</si>
  <si>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</si>
  <si>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</si>
  <si>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</si>
  <si>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</si>
  <si>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</si>
  <si>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</si>
  <si>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</si>
  <si>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</si>
  <si>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</si>
  <si>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</si>
  <si>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</si>
  <si>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</si>
  <si>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</si>
  <si>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</si>
  <si>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</si>
  <si>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</si>
  <si>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</si>
  <si>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</si>
  <si>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</si>
  <si>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</si>
  <si>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</si>
  <si>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</si>
  <si>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</si>
  <si>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</si>
  <si>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</si>
  <si>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</si>
  <si>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</si>
  <si>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</si>
  <si>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</si>
  <si>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</si>
  <si>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</si>
  <si>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</si>
  <si>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</si>
  <si>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</si>
  <si>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</si>
  <si>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</si>
  <si>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</si>
  <si>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</si>
  <si>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</si>
  <si>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</si>
  <si>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</si>
  <si>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</si>
  <si>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</si>
  <si>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</si>
  <si>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</si>
  <si>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</si>
  <si>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</si>
  <si>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</si>
  <si>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</si>
  <si>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</si>
  <si>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</si>
  <si>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</si>
  <si>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</si>
  <si>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</si>
  <si>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</si>
  <si>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</si>
  <si>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</si>
  <si>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</si>
  <si>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</si>
  <si>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</si>
  <si>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</si>
  <si>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</si>
  <si>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</si>
  <si>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</si>
  <si>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</si>
  <si>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</si>
  <si>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</si>
  <si>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</si>
  <si>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</si>
  <si>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</si>
  <si>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</si>
  <si>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</si>
  <si>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</si>
  <si>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</si>
  <si>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</si>
  <si>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</si>
  <si>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</si>
  <si>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</si>
  <si>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</si>
  <si>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</si>
  <si>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</si>
  <si>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</si>
  <si>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</si>
  <si>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</si>
  <si>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</si>
  <si>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</si>
  <si>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</si>
  <si>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</si>
  <si>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</si>
  <si>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Product Brand</t>
  </si>
  <si>
    <t>US</t>
  </si>
  <si>
    <t>Unknown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</si>
  <si>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</si>
  <si>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</si>
  <si>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</si>
  <si>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</si>
  <si>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</si>
  <si>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</si>
  <si>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</si>
  <si>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</si>
  <si>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</si>
  <si>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</si>
  <si>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</si>
  <si>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T-Shirt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</si>
  <si>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</si>
  <si>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</si>
  <si>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</si>
  <si>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</si>
  <si>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</si>
  <si>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</si>
  <si>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</si>
  <si>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</si>
  <si>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</si>
  <si>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</si>
  <si>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</si>
  <si>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</si>
  <si>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</si>
  <si>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</si>
  <si>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</si>
  <si>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</si>
  <si>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</si>
  <si>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</si>
  <si>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</si>
  <si>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</si>
  <si>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</si>
  <si>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</si>
  <si>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</si>
  <si>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</si>
  <si>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</si>
  <si>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</si>
  <si>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</si>
  <si>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</si>
  <si>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</si>
  <si>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</si>
  <si>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Manufacturing Date2</t>
  </si>
  <si>
    <t>DD-MM-YYYY</t>
  </si>
  <si>
    <t>DD-MM-YYYY2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</si>
</sst>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AED&quot;* #,##0.00_-;\-&quot;AED&quot;* #,##0.00_-;_-&quot;AED&quot;* &quot;-&quot;??_-;_-@_-"/>
    <numFmt numFmtId="164" formatCode="&quot;AED&quot;#,##0.00"/>
    <numFmt numFmtId="165" formatCode="[$$-C09]#,##0.0"/>
    <numFmt numFmtId="166" formatCode="[$-F800]dddd\,\ mmmm\ dd\,\ yyyy"/>
    <numFmt numFmtId="167" formatCode="dd\-mm\-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NumberFormat="1" applyFont="1" applyAlignment="1"/>
    <xf numFmtId="164" fontId="0" fillId="0" borderId="0" xfId="0" applyNumberFormat="1" applyFont="1" applyAlignment="1"/>
    <xf numFmtId="165" fontId="0" fillId="0" borderId="0" xfId="1" applyNumberFormat="1" applyFont="1" applyAlignment="1"/>
    <xf numFmtId="166" fontId="0" fillId="0" borderId="0" xfId="0" applyNumberFormat="1" applyFont="1" applyAlignment="1"/>
    <xf numFmtId="166" fontId="10" fillId="0" borderId="0" xfId="0" applyNumberFormat="1" applyFont="1" applyAlignment="1"/>
    <xf numFmtId="167" fontId="0" fillId="0" borderId="0" xfId="0" applyNumberFormat="1" applyFont="1" applyAlignment="1"/>
    <xf numFmtId="0" fontId="10" fillId="0" borderId="0" xfId="0" applyFont="1" applyAlignment="1"/>
    <xf numFmtId="167" fontId="10" fillId="0" borderId="0" xfId="0" applyNumberFormat="1" applyFont="1" applyAlignment="1"/>
  </cellXfs>
  <cellStyles count="2">
    <cellStyle name="Currency" xfId="1" builtinId="4"/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7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65" formatCode="[$$-C09]#,##0.0"/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6" formatCode="[$-F800]dddd\,\ mmmm\ dd\,\ 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68C25-DDA3-48F8-8DBD-C5D32DF77AE5}" autoFormatId="16" applyNumberFormats="0" applyBorderFormats="0" applyFontFormats="0" applyPatternFormats="0" applyAlignmentFormats="0" applyWidthHeightFormats="0">
  <queryTableRefresh nextId="24">
    <queryTableFields count="10">
      <queryTableField id="14" name="Manufacturing Date" tableColumnId="11"/>
      <queryTableField id="15" name="Country Code" tableColumnId="12"/>
      <queryTableField id="22" dataBound="0" tableColumnId="2"/>
      <queryTableField id="21" dataBound="0" tableColumnId="1"/>
      <queryTableField id="8" name="Product Name" tableColumnId="8"/>
      <queryTableField id="18" dataBound="0" tableColumnId="13"/>
      <queryTableField id="9" name="Brand Name" tableColumnId="9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1DD93-18FF-4C84-BB57-CE844D5589BD}" name="Dataset__2" displayName="Dataset__2" ref="A1:J32" tableType="queryTable" totalsRowShown="0">
  <autoFilter ref="A1:J32" xr:uid="{5CBCACD4-39BF-43D9-B11F-CAD1FC0DB299}"/>
  <tableColumns count="10">
    <tableColumn id="11" xr3:uid="{5233A745-D969-406C-92A5-97B028D03A44}" uniqueName="11" name="Manufacturing Date2" queryTableFieldId="14" dataDxfId="7"/>
    <tableColumn id="12" xr3:uid="{72A9E4D9-FA2C-48FB-846A-9140AF9E294B}" uniqueName="12" name="Country Code" queryTableFieldId="15" dataDxfId="3"/>
    <tableColumn id="2" xr3:uid="{43168072-4533-4A39-BE9F-27B37D0AEC06}" uniqueName="2" name="DD-MM-YYYY" queryTableFieldId="22" dataDxfId="2">
      <calculatedColumnFormula>TEXT(Dataset__2[[#This Row],[DD-MM-YYYY2]],"DD-MM-YYYY")</calculatedColumnFormula>
    </tableColumn>
    <tableColumn id="1" xr3:uid="{07605DCE-385C-488D-826B-EC3452D4EA0E}" uniqueName="1" name="DD-MM-YYYY2" queryTableFieldId="21" dataDxfId="1">
      <calculatedColumnFormula>TEXT(Dataset__2[[#This Row],[Manufacturing Date2]],"DD-MMM")&amp;"-2026"</calculatedColumnFormula>
    </tableColumn>
    <tableColumn id="8" xr3:uid="{8CDB0CAC-F286-4554-B9B3-BDA6CD6866DB}" uniqueName="8" name="Product Name" queryTableFieldId="8"/>
    <tableColumn id="13" xr3:uid="{F696357C-7330-4FD7-8AA4-B72555962689}" uniqueName="13" name="Product Brand" queryTableFieldId="18" dataDxfId="6">
      <calculatedColumnFormula>Dataset__2[[#This Row],[Product Name]]&amp;"-"&amp;Dataset__2[[#This Row],[Brand Name]]</calculatedColumnFormula>
    </tableColumn>
    <tableColumn id="9" xr3:uid="{9ECBA1E4-14B3-4FE2-AB62-8CAF2EC61CFF}" uniqueName="9" name="Brand Name" queryTableFieldId="9"/>
    <tableColumn id="4" xr3:uid="{6E163968-4CF9-4033-AD5A-A93F8D46AC08}" uniqueName="4" name="Price ($)" queryTableFieldId="4" dataDxfId="5" dataCellStyle="Currency"/>
    <tableColumn id="5" xr3:uid="{288DFCC9-A683-4514-905C-CDB61BC40A38}" uniqueName="5" name="Quantity" queryTableFieldId="5"/>
    <tableColumn id="6" xr3:uid="{024CCFAE-0743-434A-A304-D3574619B844}" uniqueName="6" name="Category" queryTableFieldId="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8" zoomScale="83" workbookViewId="0">
      <selection activeCell="G34" sqref="G34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3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4" workbookViewId="0">
      <selection activeCell="H19" sqref="H19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D3C9-CCF0-4230-AADB-3C4935053F63}">
  <dimension ref="A1:Q32"/>
  <sheetViews>
    <sheetView tabSelected="1" workbookViewId="0">
      <selection activeCell="K9" sqref="K9"/>
    </sheetView>
  </sheetViews>
  <sheetFormatPr defaultColWidth="10.6328125" defaultRowHeight="12.5" x14ac:dyDescent="0.25"/>
  <cols>
    <col min="3" max="3" width="15.81640625" bestFit="1" customWidth="1"/>
    <col min="4" max="4" width="15.81640625" style="17" bestFit="1" customWidth="1"/>
    <col min="5" max="5" width="15.08984375" style="12" customWidth="1"/>
    <col min="6" max="6" width="10.6328125" style="14"/>
    <col min="10" max="10" width="10.6328125" style="13"/>
  </cols>
  <sheetData>
    <row r="1" spans="1:13" x14ac:dyDescent="0.25">
      <c r="A1" s="16" t="s">
        <v>162</v>
      </c>
      <c r="B1" t="s">
        <v>116</v>
      </c>
      <c r="C1" s="18" t="s">
        <v>163</v>
      </c>
      <c r="D1" s="19" t="s">
        <v>164</v>
      </c>
      <c r="E1" t="s">
        <v>20</v>
      </c>
      <c r="F1" t="s">
        <v>117</v>
      </c>
      <c r="G1" t="s">
        <v>21</v>
      </c>
      <c r="H1" s="14" t="s">
        <v>22</v>
      </c>
      <c r="I1" t="s">
        <v>23</v>
      </c>
      <c r="J1" t="s">
        <v>24</v>
      </c>
    </row>
    <row r="2" spans="1:13" x14ac:dyDescent="0.25">
      <c r="A2" s="15" t="s">
        <v>132</v>
      </c>
      <c r="B2" s="12" t="s">
        <v>118</v>
      </c>
      <c r="C2" s="12" t="str">
        <f>TEXT(Dataset__2[[#This Row],[DD-MM-YYYY2]],"DD-MM-YYYY")</f>
        <v>28-01-2026</v>
      </c>
      <c r="D2" s="17" t="str">
        <f>TEXT(Dataset__2[[#This Row],[Manufacturing Date2]],"DD-MMM")&amp;"-2026"</f>
        <v>28-Jan-2026</v>
      </c>
      <c r="E2" t="s">
        <v>61</v>
      </c>
      <c r="F2" t="str">
        <f>Dataset__2[[#This Row],[Product Name]]&amp;"-"&amp;Dataset__2[[#This Row],[Brand Name]]</f>
        <v>Laptop-Dell</v>
      </c>
      <c r="G2" t="s">
        <v>27</v>
      </c>
      <c r="H2" s="14">
        <v>1000</v>
      </c>
      <c r="I2">
        <v>30</v>
      </c>
      <c r="J2" s="12" t="s">
        <v>28</v>
      </c>
    </row>
    <row r="3" spans="1:13" x14ac:dyDescent="0.25">
      <c r="A3" s="15" t="s">
        <v>133</v>
      </c>
      <c r="B3" s="12" t="s">
        <v>118</v>
      </c>
      <c r="C3" s="12" t="str">
        <f>TEXT(Dataset__2[[#This Row],[DD-MM-YYYY2]],"DD-MM-YYYY")</f>
        <v>15-02-2026</v>
      </c>
      <c r="D3" s="17" t="str">
        <f>TEXT(Dataset__2[[#This Row],[Manufacturing Date2]],"DD-MMM")&amp;"-2026"</f>
        <v>15-Feb-2026</v>
      </c>
      <c r="E3" t="s">
        <v>30</v>
      </c>
      <c r="F3" t="str">
        <f>Dataset__2[[#This Row],[Product Name]]&amp;"-"&amp;Dataset__2[[#This Row],[Brand Name]]</f>
        <v>Sneakers-Nike</v>
      </c>
      <c r="G3" t="s">
        <v>31</v>
      </c>
      <c r="H3" s="14">
        <v>80</v>
      </c>
      <c r="I3">
        <v>15</v>
      </c>
      <c r="J3" s="12" t="s">
        <v>32</v>
      </c>
    </row>
    <row r="4" spans="1:13" x14ac:dyDescent="0.25">
      <c r="A4" s="15" t="s">
        <v>134</v>
      </c>
      <c r="B4" s="12" t="s">
        <v>118</v>
      </c>
      <c r="C4" s="12" t="str">
        <f>TEXT(Dataset__2[[#This Row],[DD-MM-YYYY2]],"DD-MM-YYYY")</f>
        <v>03-03-2026</v>
      </c>
      <c r="D4" s="17" t="str">
        <f>TEXT(Dataset__2[[#This Row],[Manufacturing Date2]],"DD-MMM")&amp;"-2026"</f>
        <v>03-Mar-2026</v>
      </c>
      <c r="E4" t="s">
        <v>34</v>
      </c>
      <c r="F4" t="str">
        <f>Dataset__2[[#This Row],[Product Name]]&amp;"-"&amp;Dataset__2[[#This Row],[Brand Name]]</f>
        <v>Coffee Maker-Keurig</v>
      </c>
      <c r="G4" t="s">
        <v>35</v>
      </c>
      <c r="H4" s="14">
        <v>130</v>
      </c>
      <c r="I4">
        <v>40</v>
      </c>
      <c r="J4" s="12" t="s">
        <v>36</v>
      </c>
    </row>
    <row r="5" spans="1:13" x14ac:dyDescent="0.25">
      <c r="A5" s="15" t="s">
        <v>135</v>
      </c>
      <c r="B5" s="12" t="s">
        <v>118</v>
      </c>
      <c r="C5" s="12" t="str">
        <f>TEXT(Dataset__2[[#This Row],[DD-MM-YYYY2]],"DD-MM-YYYY")</f>
        <v>11-04-2026</v>
      </c>
      <c r="D5" s="17" t="str">
        <f>TEXT(Dataset__2[[#This Row],[Manufacturing Date2]],"DD-MMM")&amp;"-2026"</f>
        <v>11-Apr-2026</v>
      </c>
      <c r="E5" t="s">
        <v>96</v>
      </c>
      <c r="F5" t="str">
        <f>Dataset__2[[#This Row],[Product Name]]&amp;"-"&amp;Dataset__2[[#This Row],[Brand Name]]</f>
        <v>Smartphone-Samsung</v>
      </c>
      <c r="G5" t="s">
        <v>39</v>
      </c>
      <c r="H5" s="14">
        <v>900</v>
      </c>
      <c r="I5">
        <v>25</v>
      </c>
      <c r="J5" s="12" t="s">
        <v>28</v>
      </c>
    </row>
    <row r="6" spans="1:13" x14ac:dyDescent="0.25">
      <c r="A6" s="15" t="s">
        <v>136</v>
      </c>
      <c r="B6" s="12" t="s">
        <v>118</v>
      </c>
      <c r="C6" s="12" t="str">
        <f>TEXT(Dataset__2[[#This Row],[DD-MM-YYYY2]],"DD-MM-YYYY")</f>
        <v>22-05-2026</v>
      </c>
      <c r="D6" s="17" t="str">
        <f>TEXT(Dataset__2[[#This Row],[Manufacturing Date2]],"DD-MMM")&amp;"-2026"</f>
        <v>22-May-2026</v>
      </c>
      <c r="E6" t="s">
        <v>41</v>
      </c>
      <c r="F6" t="str">
        <f>Dataset__2[[#This Row],[Product Name]]&amp;"-"&amp;Dataset__2[[#This Row],[Brand Name]]</f>
        <v>Backpack-North Face</v>
      </c>
      <c r="G6" t="s">
        <v>42</v>
      </c>
      <c r="H6" s="14">
        <v>70</v>
      </c>
      <c r="I6">
        <v>20</v>
      </c>
      <c r="J6" s="12" t="s">
        <v>119</v>
      </c>
    </row>
    <row r="7" spans="1:13" x14ac:dyDescent="0.25">
      <c r="A7" s="15" t="s">
        <v>137</v>
      </c>
      <c r="B7" s="12" t="s">
        <v>120</v>
      </c>
      <c r="C7" s="12" t="str">
        <f>TEXT(Dataset__2[[#This Row],[DD-MM-YYYY2]],"DD-MM-YYYY")</f>
        <v>07-06-2026</v>
      </c>
      <c r="D7" s="17" t="str">
        <f>TEXT(Dataset__2[[#This Row],[Manufacturing Date2]],"DD-MMM")&amp;"-2026"</f>
        <v>07-Jun-2026</v>
      </c>
      <c r="E7" t="s">
        <v>44</v>
      </c>
      <c r="F7" t="str">
        <f>Dataset__2[[#This Row],[Product Name]]&amp;"-"&amp;Dataset__2[[#This Row],[Brand Name]]</f>
        <v>Headphones-Sony</v>
      </c>
      <c r="G7" t="s">
        <v>45</v>
      </c>
      <c r="H7" s="14">
        <v>130</v>
      </c>
      <c r="I7">
        <v>45</v>
      </c>
      <c r="J7" s="12" t="s">
        <v>28</v>
      </c>
    </row>
    <row r="8" spans="1:13" x14ac:dyDescent="0.25">
      <c r="A8" s="15" t="s">
        <v>138</v>
      </c>
      <c r="B8" s="12" t="s">
        <v>120</v>
      </c>
      <c r="C8" s="12" t="str">
        <f>TEXT(Dataset__2[[#This Row],[DD-MM-YYYY2]],"DD-MM-YYYY")</f>
        <v>19-07-2026</v>
      </c>
      <c r="D8" s="17" t="str">
        <f>TEXT(Dataset__2[[#This Row],[Manufacturing Date2]],"DD-MMM")&amp;"-2026"</f>
        <v>19-Jul-2026</v>
      </c>
      <c r="E8" t="s">
        <v>131</v>
      </c>
      <c r="F8" t="str">
        <f>Dataset__2[[#This Row],[Product Name]]&amp;"-"&amp;Dataset__2[[#This Row],[Brand Name]]</f>
        <v>T-Shirt-Adidas</v>
      </c>
      <c r="G8" t="s">
        <v>49</v>
      </c>
      <c r="H8" s="14">
        <v>30</v>
      </c>
      <c r="I8">
        <v>5</v>
      </c>
      <c r="J8" s="12" t="s">
        <v>32</v>
      </c>
      <c r="M8" s="13"/>
    </row>
    <row r="9" spans="1:13" x14ac:dyDescent="0.25">
      <c r="A9" s="15" t="s">
        <v>139</v>
      </c>
      <c r="B9" s="12" t="s">
        <v>120</v>
      </c>
      <c r="C9" s="12" t="str">
        <f>TEXT(Dataset__2[[#This Row],[DD-MM-YYYY2]],"DD-MM-YYYY")</f>
        <v>23-08-2026</v>
      </c>
      <c r="D9" s="17" t="str">
        <f>TEXT(Dataset__2[[#This Row],[Manufacturing Date2]],"DD-MMM")&amp;"-2026"</f>
        <v>23-Aug-2026</v>
      </c>
      <c r="E9" t="s">
        <v>51</v>
      </c>
      <c r="F9" t="str">
        <f>Dataset__2[[#This Row],[Product Name]]&amp;"-"&amp;Dataset__2[[#This Row],[Brand Name]]</f>
        <v>Blender-Ninja</v>
      </c>
      <c r="G9" t="s">
        <v>52</v>
      </c>
      <c r="H9" s="14">
        <v>90</v>
      </c>
      <c r="I9">
        <v>35</v>
      </c>
      <c r="J9" s="12" t="s">
        <v>36</v>
      </c>
    </row>
    <row r="10" spans="1:13" x14ac:dyDescent="0.25">
      <c r="A10" s="15" t="s">
        <v>140</v>
      </c>
      <c r="B10" s="12" t="s">
        <v>120</v>
      </c>
      <c r="C10" s="12" t="str">
        <f>TEXT(Dataset__2[[#This Row],[DD-MM-YYYY2]],"DD-MM-YYYY")</f>
        <v>05-09-2026</v>
      </c>
      <c r="D10" s="17" t="str">
        <f>TEXT(Dataset__2[[#This Row],[Manufacturing Date2]],"DD-MMM")&amp;"-2026"</f>
        <v>05-Sep-2026</v>
      </c>
      <c r="E10" t="s">
        <v>54</v>
      </c>
      <c r="F10" t="str">
        <f>Dataset__2[[#This Row],[Product Name]]&amp;"-"&amp;Dataset__2[[#This Row],[Brand Name]]</f>
        <v>Tablet-Apple</v>
      </c>
      <c r="G10" t="s">
        <v>55</v>
      </c>
      <c r="H10" s="14">
        <v>500</v>
      </c>
      <c r="I10">
        <v>50</v>
      </c>
      <c r="J10" s="12" t="s">
        <v>28</v>
      </c>
    </row>
    <row r="11" spans="1:13" x14ac:dyDescent="0.25">
      <c r="A11" s="15" t="s">
        <v>141</v>
      </c>
      <c r="B11" s="12" t="s">
        <v>120</v>
      </c>
      <c r="C11" s="12" t="str">
        <f>TEXT(Dataset__2[[#This Row],[DD-MM-YYYY2]],"DD-MM-YYYY")</f>
        <v>14-10-2026</v>
      </c>
      <c r="D11" s="17" t="str">
        <f>TEXT(Dataset__2[[#This Row],[Manufacturing Date2]],"DD-MMM")&amp;"-2026"</f>
        <v>14-Oct-2026</v>
      </c>
      <c r="E11" t="s">
        <v>57</v>
      </c>
      <c r="F11" t="str">
        <f>Dataset__2[[#This Row],[Product Name]]&amp;"-"&amp;Dataset__2[[#This Row],[Brand Name]]</f>
        <v>Hiking Boots-Timberland</v>
      </c>
      <c r="G11" t="s">
        <v>58</v>
      </c>
      <c r="H11" s="14">
        <v>130</v>
      </c>
      <c r="I11">
        <v>10</v>
      </c>
      <c r="J11" s="12" t="s">
        <v>59</v>
      </c>
    </row>
    <row r="12" spans="1:13" x14ac:dyDescent="0.25">
      <c r="A12" s="15" t="s">
        <v>142</v>
      </c>
      <c r="B12" s="12" t="s">
        <v>121</v>
      </c>
      <c r="C12" s="12" t="str">
        <f>TEXT(Dataset__2[[#This Row],[DD-MM-YYYY2]],"DD-MM-YYYY")</f>
        <v>17-06-2026</v>
      </c>
      <c r="D12" s="17" t="str">
        <f>TEXT(Dataset__2[[#This Row],[Manufacturing Date2]],"DD-MMM")&amp;"-2026"</f>
        <v>17-Jun-2026</v>
      </c>
      <c r="E12" t="s">
        <v>61</v>
      </c>
      <c r="F12" t="str">
        <f>Dataset__2[[#This Row],[Product Name]]&amp;"-"&amp;Dataset__2[[#This Row],[Brand Name]]</f>
        <v>Laptop-HP</v>
      </c>
      <c r="G12" t="s">
        <v>62</v>
      </c>
      <c r="H12" s="14">
        <v>950</v>
      </c>
      <c r="I12">
        <v>25</v>
      </c>
      <c r="J12" s="12" t="s">
        <v>28</v>
      </c>
    </row>
    <row r="13" spans="1:13" x14ac:dyDescent="0.25">
      <c r="A13" s="15" t="s">
        <v>143</v>
      </c>
      <c r="B13" s="12" t="s">
        <v>122</v>
      </c>
      <c r="C13" s="12" t="str">
        <f>TEXT(Dataset__2[[#This Row],[DD-MM-YYYY2]],"DD-MM-YYYY")</f>
        <v>25-11-2026</v>
      </c>
      <c r="D13" s="17" t="str">
        <f>TEXT(Dataset__2[[#This Row],[Manufacturing Date2]],"DD-MMM")&amp;"-2026"</f>
        <v>25-Nov-2026</v>
      </c>
      <c r="E13" t="s">
        <v>30</v>
      </c>
      <c r="F13" t="str">
        <f>Dataset__2[[#This Row],[Product Name]]&amp;"-"&amp;Dataset__2[[#This Row],[Brand Name]]</f>
        <v>Sneakers-Adidas</v>
      </c>
      <c r="G13" t="s">
        <v>49</v>
      </c>
      <c r="H13" s="14">
        <v>90</v>
      </c>
      <c r="I13">
        <v>40</v>
      </c>
      <c r="J13" s="12" t="s">
        <v>119</v>
      </c>
    </row>
    <row r="14" spans="1:13" x14ac:dyDescent="0.25">
      <c r="A14" s="15" t="s">
        <v>144</v>
      </c>
      <c r="B14" s="12" t="s">
        <v>123</v>
      </c>
      <c r="C14" s="12" t="str">
        <f>TEXT(Dataset__2[[#This Row],[DD-MM-YYYY2]],"DD-MM-YYYY")</f>
        <v>08-12-2026</v>
      </c>
      <c r="D14" s="17" t="str">
        <f>TEXT(Dataset__2[[#This Row],[Manufacturing Date2]],"DD-MMM")&amp;"-2026"</f>
        <v>08-Dec-2026</v>
      </c>
      <c r="E14" t="s">
        <v>34</v>
      </c>
      <c r="F14" t="str">
        <f>Dataset__2[[#This Row],[Product Name]]&amp;"-"&amp;Dataset__2[[#This Row],[Brand Name]]</f>
        <v>Coffee Maker-Nespresso</v>
      </c>
      <c r="G14" t="s">
        <v>65</v>
      </c>
      <c r="H14" s="14">
        <v>120</v>
      </c>
      <c r="I14">
        <v>35</v>
      </c>
      <c r="J14" s="12" t="s">
        <v>119</v>
      </c>
      <c r="L14" s="17"/>
    </row>
    <row r="15" spans="1:13" x14ac:dyDescent="0.25">
      <c r="A15" s="15" t="s">
        <v>145</v>
      </c>
      <c r="B15" s="12" t="s">
        <v>124</v>
      </c>
      <c r="C15" s="12" t="str">
        <f>TEXT(Dataset__2[[#This Row],[DD-MM-YYYY2]],"DD-MM-YYYY")</f>
        <v>18-02-2026</v>
      </c>
      <c r="D15" s="17" t="str">
        <f>TEXT(Dataset__2[[#This Row],[Manufacturing Date2]],"DD-MMM")&amp;"-2026"</f>
        <v>18-Feb-2026</v>
      </c>
      <c r="E15" t="s">
        <v>67</v>
      </c>
      <c r="F15" t="str">
        <f>Dataset__2[[#This Row],[Product Name]]&amp;"-"&amp;Dataset__2[[#This Row],[Brand Name]]</f>
        <v>Smartwatch-Fitbit</v>
      </c>
      <c r="G15" t="s">
        <v>68</v>
      </c>
      <c r="H15" s="14">
        <v>150</v>
      </c>
      <c r="I15">
        <v>15</v>
      </c>
      <c r="J15" s="12" t="s">
        <v>28</v>
      </c>
    </row>
    <row r="16" spans="1:13" x14ac:dyDescent="0.25">
      <c r="A16" s="15" t="s">
        <v>146</v>
      </c>
      <c r="B16" s="12" t="s">
        <v>125</v>
      </c>
      <c r="C16" s="12" t="str">
        <f>TEXT(Dataset__2[[#This Row],[DD-MM-YYYY2]],"DD-MM-YYYY")</f>
        <v>16-04-2026</v>
      </c>
      <c r="D16" s="17" t="str">
        <f>TEXT(Dataset__2[[#This Row],[Manufacturing Date2]],"DD-MMM")&amp;"-2026"</f>
        <v>16-Apr-2026</v>
      </c>
      <c r="E16" t="s">
        <v>44</v>
      </c>
      <c r="F16" t="str">
        <f>Dataset__2[[#This Row],[Product Name]]&amp;"-"&amp;Dataset__2[[#This Row],[Brand Name]]</f>
        <v>Headphones-Bose</v>
      </c>
      <c r="G16" t="s">
        <v>71</v>
      </c>
      <c r="H16" s="14">
        <v>250</v>
      </c>
      <c r="I16">
        <v>20</v>
      </c>
      <c r="J16" s="12" t="s">
        <v>28</v>
      </c>
    </row>
    <row r="17" spans="1:10" x14ac:dyDescent="0.25">
      <c r="A17" s="15" t="s">
        <v>147</v>
      </c>
      <c r="B17" s="12" t="s">
        <v>124</v>
      </c>
      <c r="C17" s="12" t="str">
        <f>TEXT(Dataset__2[[#This Row],[DD-MM-YYYY2]],"DD-MM-YYYY")</f>
        <v>21-08-2026</v>
      </c>
      <c r="D17" s="17" t="str">
        <f>TEXT(Dataset__2[[#This Row],[Manufacturing Date2]],"DD-MMM")&amp;"-2026"</f>
        <v>21-Aug-2026</v>
      </c>
      <c r="E17" t="s">
        <v>73</v>
      </c>
      <c r="F17" t="str">
        <f>Dataset__2[[#This Row],[Product Name]]&amp;"-"&amp;Dataset__2[[#This Row],[Brand Name]]</f>
        <v>Laptop Bag-Samsonite</v>
      </c>
      <c r="G17" t="s">
        <v>74</v>
      </c>
      <c r="H17" s="14">
        <v>50</v>
      </c>
      <c r="I17">
        <v>35</v>
      </c>
      <c r="J17" s="12" t="s">
        <v>75</v>
      </c>
    </row>
    <row r="18" spans="1:10" x14ac:dyDescent="0.25">
      <c r="A18" s="15" t="s">
        <v>148</v>
      </c>
      <c r="B18" s="12" t="s">
        <v>126</v>
      </c>
      <c r="C18" s="12" t="str">
        <f>TEXT(Dataset__2[[#This Row],[DD-MM-YYYY2]],"DD-MM-YYYY")</f>
        <v>20-08-2026</v>
      </c>
      <c r="D18" s="17" t="str">
        <f>TEXT(Dataset__2[[#This Row],[Manufacturing Date2]],"DD-MMM")&amp;"-2026"</f>
        <v>20-Aug-2026</v>
      </c>
      <c r="E18" t="s">
        <v>67</v>
      </c>
      <c r="F18" t="str">
        <f>Dataset__2[[#This Row],[Product Name]]&amp;"-"&amp;Dataset__2[[#This Row],[Brand Name]]</f>
        <v>Smartwatch-Huawei</v>
      </c>
      <c r="G18" t="s">
        <v>77</v>
      </c>
      <c r="H18" s="14">
        <v>160</v>
      </c>
      <c r="I18">
        <v>15</v>
      </c>
      <c r="J18" s="12" t="s">
        <v>28</v>
      </c>
    </row>
    <row r="19" spans="1:10" x14ac:dyDescent="0.25">
      <c r="A19" s="15" t="s">
        <v>149</v>
      </c>
      <c r="B19" s="12" t="s">
        <v>127</v>
      </c>
      <c r="C19" s="12" t="str">
        <f>TEXT(Dataset__2[[#This Row],[DD-MM-YYYY2]],"DD-MM-YYYY")</f>
        <v>27-01-2026</v>
      </c>
      <c r="D19" s="17" t="str">
        <f>TEXT(Dataset__2[[#This Row],[Manufacturing Date2]],"DD-MMM")&amp;"-2026"</f>
        <v>27-Jan-2026</v>
      </c>
      <c r="E19" t="s">
        <v>61</v>
      </c>
      <c r="F19" t="str">
        <f>Dataset__2[[#This Row],[Product Name]]&amp;"-"&amp;Dataset__2[[#This Row],[Brand Name]]</f>
        <v>Laptop-Asus</v>
      </c>
      <c r="G19" t="s">
        <v>79</v>
      </c>
      <c r="H19" s="14">
        <v>980</v>
      </c>
      <c r="I19">
        <v>10</v>
      </c>
      <c r="J19" s="12" t="s">
        <v>28</v>
      </c>
    </row>
    <row r="20" spans="1:10" x14ac:dyDescent="0.25">
      <c r="A20" s="15" t="s">
        <v>150</v>
      </c>
      <c r="B20" s="12" t="s">
        <v>120</v>
      </c>
      <c r="C20" s="12" t="str">
        <f>TEXT(Dataset__2[[#This Row],[DD-MM-YYYY2]],"DD-MM-YYYY")</f>
        <v>01-03-2026</v>
      </c>
      <c r="D20" s="17" t="str">
        <f>TEXT(Dataset__2[[#This Row],[Manufacturing Date2]],"DD-MMM")&amp;"-2026"</f>
        <v>01-Mar-2026</v>
      </c>
      <c r="E20" t="s">
        <v>81</v>
      </c>
      <c r="F20" t="str">
        <f>Dataset__2[[#This Row],[Product Name]]&amp;"-"&amp;Dataset__2[[#This Row],[Brand Name]]</f>
        <v>Sunglasses-Oakley</v>
      </c>
      <c r="G20" t="s">
        <v>82</v>
      </c>
      <c r="H20" s="14">
        <v>150</v>
      </c>
      <c r="I20">
        <v>15</v>
      </c>
      <c r="J20" s="12" t="s">
        <v>32</v>
      </c>
    </row>
    <row r="21" spans="1:10" x14ac:dyDescent="0.25">
      <c r="A21" s="15" t="s">
        <v>151</v>
      </c>
      <c r="B21" s="12" t="s">
        <v>118</v>
      </c>
      <c r="C21" s="12" t="str">
        <f>TEXT(Dataset__2[[#This Row],[DD-MM-YYYY2]],"DD-MM-YYYY")</f>
        <v>14-08-2026</v>
      </c>
      <c r="D21" s="17" t="str">
        <f>TEXT(Dataset__2[[#This Row],[Manufacturing Date2]],"DD-MMM")&amp;"-2026"</f>
        <v>14-Aug-2026</v>
      </c>
      <c r="E21" t="s">
        <v>84</v>
      </c>
      <c r="F21" t="str">
        <f>Dataset__2[[#This Row],[Product Name]]&amp;"-"&amp;Dataset__2[[#This Row],[Brand Name]]</f>
        <v>Camping Tent-Coleman</v>
      </c>
      <c r="G21" t="s">
        <v>85</v>
      </c>
      <c r="H21" s="14">
        <v>130</v>
      </c>
      <c r="I21">
        <v>10</v>
      </c>
      <c r="J21" s="12" t="s">
        <v>59</v>
      </c>
    </row>
    <row r="22" spans="1:10" x14ac:dyDescent="0.25">
      <c r="A22" s="15" t="s">
        <v>152</v>
      </c>
      <c r="B22" s="12" t="s">
        <v>128</v>
      </c>
      <c r="C22" s="12" t="str">
        <f>TEXT(Dataset__2[[#This Row],[DD-MM-YYYY2]],"DD-MM-YYYY")</f>
        <v>14-05-2026</v>
      </c>
      <c r="D22" s="17" t="str">
        <f>TEXT(Dataset__2[[#This Row],[Manufacturing Date2]],"DD-MMM")&amp;"-2026"</f>
        <v>14-May-2026</v>
      </c>
      <c r="E22" t="s">
        <v>87</v>
      </c>
      <c r="F22" t="str">
        <f>Dataset__2[[#This Row],[Product Name]]&amp;"-"&amp;Dataset__2[[#This Row],[Brand Name]]</f>
        <v>Camera-Nikon</v>
      </c>
      <c r="G22" t="s">
        <v>88</v>
      </c>
      <c r="H22" s="14">
        <v>700</v>
      </c>
      <c r="I22">
        <v>50</v>
      </c>
      <c r="J22" s="12" t="s">
        <v>28</v>
      </c>
    </row>
    <row r="23" spans="1:10" x14ac:dyDescent="0.25">
      <c r="A23" s="15" t="s">
        <v>153</v>
      </c>
      <c r="B23" s="12" t="s">
        <v>124</v>
      </c>
      <c r="C23" s="12" t="str">
        <f>TEXT(Dataset__2[[#This Row],[DD-MM-YYYY2]],"DD-MM-YYYY")</f>
        <v>09-01-2026</v>
      </c>
      <c r="D23" s="17" t="str">
        <f>TEXT(Dataset__2[[#This Row],[Manufacturing Date2]],"DD-MMM")&amp;"-2026"</f>
        <v>09-Jan-2026</v>
      </c>
      <c r="E23" t="s">
        <v>90</v>
      </c>
      <c r="F23" t="str">
        <f>Dataset__2[[#This Row],[Product Name]]&amp;"-"&amp;Dataset__2[[#This Row],[Brand Name]]</f>
        <v>Microwave-Panasonic</v>
      </c>
      <c r="G23" t="s">
        <v>91</v>
      </c>
      <c r="H23" s="14">
        <v>80</v>
      </c>
      <c r="I23">
        <v>20</v>
      </c>
      <c r="J23" s="12" t="s">
        <v>36</v>
      </c>
    </row>
    <row r="24" spans="1:10" x14ac:dyDescent="0.25">
      <c r="A24" s="15" t="s">
        <v>138</v>
      </c>
      <c r="B24" s="12" t="s">
        <v>129</v>
      </c>
      <c r="C24" s="12" t="str">
        <f>TEXT(Dataset__2[[#This Row],[DD-MM-YYYY2]],"DD-MM-YYYY")</f>
        <v>19-07-2026</v>
      </c>
      <c r="D24" s="17" t="str">
        <f>TEXT(Dataset__2[[#This Row],[Manufacturing Date2]],"DD-MMM")&amp;"-2026"</f>
        <v>19-Jul-2026</v>
      </c>
      <c r="E24" t="s">
        <v>93</v>
      </c>
      <c r="F24" t="str">
        <f>Dataset__2[[#This Row],[Product Name]]&amp;"-"&amp;Dataset__2[[#This Row],[Brand Name]]</f>
        <v>Fitness Tracker-Xiaomi</v>
      </c>
      <c r="G24" t="s">
        <v>94</v>
      </c>
      <c r="H24" s="14">
        <v>150</v>
      </c>
      <c r="I24">
        <v>30</v>
      </c>
      <c r="J24" s="12" t="s">
        <v>119</v>
      </c>
    </row>
    <row r="25" spans="1:10" x14ac:dyDescent="0.25">
      <c r="A25" s="15" t="s">
        <v>154</v>
      </c>
      <c r="B25" s="12" t="s">
        <v>124</v>
      </c>
      <c r="C25" s="12" t="str">
        <f>TEXT(Dataset__2[[#This Row],[DD-MM-YYYY2]],"DD-MM-YYYY")</f>
        <v>29-09-2026</v>
      </c>
      <c r="D25" s="17" t="str">
        <f>TEXT(Dataset__2[[#This Row],[Manufacturing Date2]],"DD-MMM")&amp;"-2026"</f>
        <v>29-Sep-2026</v>
      </c>
      <c r="E25" t="s">
        <v>96</v>
      </c>
      <c r="F25" t="str">
        <f>Dataset__2[[#This Row],[Product Name]]&amp;"-"&amp;Dataset__2[[#This Row],[Brand Name]]</f>
        <v>Smartphone-Google</v>
      </c>
      <c r="G25" t="s">
        <v>97</v>
      </c>
      <c r="H25" s="14">
        <v>800</v>
      </c>
      <c r="I25">
        <v>45</v>
      </c>
      <c r="J25" s="12" t="s">
        <v>28</v>
      </c>
    </row>
    <row r="26" spans="1:10" x14ac:dyDescent="0.25">
      <c r="A26" s="15" t="s">
        <v>155</v>
      </c>
      <c r="B26" s="12" t="s">
        <v>124</v>
      </c>
      <c r="C26" s="12" t="str">
        <f>TEXT(Dataset__2[[#This Row],[DD-MM-YYYY2]],"DD-MM-YYYY")</f>
        <v>03-06-2026</v>
      </c>
      <c r="D26" s="17" t="str">
        <f>TEXT(Dataset__2[[#This Row],[Manufacturing Date2]],"DD-MMM")&amp;"-2026"</f>
        <v>03-Jun-2026</v>
      </c>
      <c r="E26" t="s">
        <v>81</v>
      </c>
      <c r="F26" t="str">
        <f>Dataset__2[[#This Row],[Product Name]]&amp;"-"&amp;Dataset__2[[#This Row],[Brand Name]]</f>
        <v>Sunglasses-Ray-Ban</v>
      </c>
      <c r="G26" t="s">
        <v>99</v>
      </c>
      <c r="H26" s="14">
        <v>130</v>
      </c>
      <c r="I26">
        <v>25</v>
      </c>
      <c r="J26" s="12" t="s">
        <v>32</v>
      </c>
    </row>
    <row r="27" spans="1:10" x14ac:dyDescent="0.25">
      <c r="A27" s="15" t="s">
        <v>156</v>
      </c>
      <c r="B27" s="12" t="s">
        <v>124</v>
      </c>
      <c r="C27" s="12" t="str">
        <f>TEXT(Dataset__2[[#This Row],[DD-MM-YYYY2]],"DD-MM-YYYY")</f>
        <v>11-07-2026</v>
      </c>
      <c r="D27" s="17" t="str">
        <f>TEXT(Dataset__2[[#This Row],[Manufacturing Date2]],"DD-MMM")&amp;"-2026"</f>
        <v>11-Jul-2026</v>
      </c>
      <c r="E27" t="s">
        <v>51</v>
      </c>
      <c r="F27" t="str">
        <f>Dataset__2[[#This Row],[Product Name]]&amp;"-"&amp;Dataset__2[[#This Row],[Brand Name]]</f>
        <v>Blender-Vitamix</v>
      </c>
      <c r="G27" t="s">
        <v>101</v>
      </c>
      <c r="H27" s="14">
        <v>400</v>
      </c>
      <c r="I27">
        <v>40</v>
      </c>
      <c r="J27" s="12" t="s">
        <v>36</v>
      </c>
    </row>
    <row r="28" spans="1:10" x14ac:dyDescent="0.25">
      <c r="A28" s="15" t="s">
        <v>157</v>
      </c>
      <c r="B28" s="12" t="s">
        <v>124</v>
      </c>
      <c r="C28" s="12" t="str">
        <f>TEXT(Dataset__2[[#This Row],[DD-MM-YYYY2]],"DD-MM-YYYY")</f>
        <v>07-03-2026</v>
      </c>
      <c r="D28" s="17" t="str">
        <f>TEXT(Dataset__2[[#This Row],[Manufacturing Date2]],"DD-MMM")&amp;"-2026"</f>
        <v>07-Mar-2026</v>
      </c>
      <c r="E28" t="s">
        <v>103</v>
      </c>
      <c r="F28" t="str">
        <f>Dataset__2[[#This Row],[Product Name]]&amp;"-"&amp;Dataset__2[[#This Row],[Brand Name]]</f>
        <v>Dress-Zara</v>
      </c>
      <c r="G28" t="s">
        <v>104</v>
      </c>
      <c r="H28" s="14">
        <v>60</v>
      </c>
      <c r="I28">
        <v>30</v>
      </c>
      <c r="J28" s="12" t="s">
        <v>32</v>
      </c>
    </row>
    <row r="29" spans="1:10" x14ac:dyDescent="0.25">
      <c r="A29" s="15" t="s">
        <v>158</v>
      </c>
      <c r="B29" s="12" t="s">
        <v>124</v>
      </c>
      <c r="C29" s="12" t="str">
        <f>TEXT(Dataset__2[[#This Row],[DD-MM-YYYY2]],"DD-MM-YYYY")</f>
        <v>13-04-2026</v>
      </c>
      <c r="D29" s="17" t="str">
        <f>TEXT(Dataset__2[[#This Row],[Manufacturing Date2]],"DD-MMM")&amp;"-2026"</f>
        <v>13-Apr-2026</v>
      </c>
      <c r="E29" t="s">
        <v>106</v>
      </c>
      <c r="F29" t="str">
        <f>Dataset__2[[#This Row],[Product Name]]&amp;"-"&amp;Dataset__2[[#This Row],[Brand Name]]</f>
        <v>Toaster-Hamilton</v>
      </c>
      <c r="G29" t="s">
        <v>107</v>
      </c>
      <c r="H29" s="14">
        <v>40</v>
      </c>
      <c r="I29">
        <v>10</v>
      </c>
      <c r="J29" s="12" t="s">
        <v>36</v>
      </c>
    </row>
    <row r="30" spans="1:10" x14ac:dyDescent="0.25">
      <c r="A30" s="15" t="s">
        <v>159</v>
      </c>
      <c r="B30" s="12" t="s">
        <v>124</v>
      </c>
      <c r="C30" s="12" t="str">
        <f>TEXT(Dataset__2[[#This Row],[DD-MM-YYYY2]],"DD-MM-YYYY")</f>
        <v>24-05-2026</v>
      </c>
      <c r="D30" s="17" t="str">
        <f>TEXT(Dataset__2[[#This Row],[Manufacturing Date2]],"DD-MMM")&amp;"-2026"</f>
        <v>24-May-2026</v>
      </c>
      <c r="E30" t="s">
        <v>93</v>
      </c>
      <c r="F30" t="str">
        <f>Dataset__2[[#This Row],[Product Name]]&amp;"-"&amp;Dataset__2[[#This Row],[Brand Name]]</f>
        <v>Fitness Tracker-Garmin</v>
      </c>
      <c r="G30" t="s">
        <v>109</v>
      </c>
      <c r="H30" s="14">
        <v>130</v>
      </c>
      <c r="I30">
        <v>5</v>
      </c>
      <c r="J30" s="12" t="s">
        <v>28</v>
      </c>
    </row>
    <row r="31" spans="1:10" x14ac:dyDescent="0.25">
      <c r="A31" s="15" t="s">
        <v>160</v>
      </c>
      <c r="B31" s="12" t="s">
        <v>124</v>
      </c>
      <c r="C31" s="12" t="str">
        <f>TEXT(Dataset__2[[#This Row],[DD-MM-YYYY2]],"DD-MM-YYYY")</f>
        <v>02-12-2026</v>
      </c>
      <c r="D31" s="17" t="str">
        <f>TEXT(Dataset__2[[#This Row],[Manufacturing Date2]],"DD-MMM")&amp;"-2026"</f>
        <v>02-Dec-2026</v>
      </c>
      <c r="E31" t="s">
        <v>111</v>
      </c>
      <c r="F31" t="str">
        <f>Dataset__2[[#This Row],[Product Name]]&amp;"-"&amp;Dataset__2[[#This Row],[Brand Name]]</f>
        <v>Jeans-Levi's</v>
      </c>
      <c r="G31" t="s">
        <v>112</v>
      </c>
      <c r="H31" s="14">
        <v>50</v>
      </c>
      <c r="I31">
        <v>50</v>
      </c>
      <c r="J31" s="12" t="s">
        <v>32</v>
      </c>
    </row>
    <row r="32" spans="1:10" x14ac:dyDescent="0.25">
      <c r="A32" s="15" t="s">
        <v>161</v>
      </c>
      <c r="B32" s="12" t="s">
        <v>130</v>
      </c>
      <c r="C32" s="12" t="str">
        <f>TEXT(Dataset__2[[#This Row],[DD-MM-YYYY2]],"DD-MM-YYYY")</f>
        <v>09-07-2026</v>
      </c>
      <c r="D32" s="17" t="str">
        <f>TEXT(Dataset__2[[#This Row],[Manufacturing Date2]],"DD-MMM")&amp;"-2026"</f>
        <v>09-Jul-2026</v>
      </c>
      <c r="E32" t="s">
        <v>114</v>
      </c>
      <c r="F32" t="str">
        <f>Dataset__2[[#This Row],[Product Name]]&amp;"-"&amp;Dataset__2[[#This Row],[Brand Name]]</f>
        <v>Watch-Casio</v>
      </c>
      <c r="G32" t="s">
        <v>115</v>
      </c>
      <c r="H32" s="14">
        <v>100</v>
      </c>
      <c r="I32">
        <v>20</v>
      </c>
      <c r="J32" s="12" t="s">
        <v>75</v>
      </c>
    </row>
  </sheetData>
  <phoneticPr fontId="9" type="noConversion"/>
  <conditionalFormatting sqref="H1:H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{DE0EC3D1-8EE0-4CDA-BA0D-13B258822561}</x14:id>
        </ext>
      </extLst>
    </cfRule>
  </conditionalFormatting>
  <conditionalFormatting sqref="J1:J1048576">
    <cfRule type="containsText" dxfId="0" priority="1" operator="containsText" text="Electronics">
      <formula>NOT(ISERROR(SEARCH("Electronics",J1)))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0EC3D1-8EE0-4CDA-BA0D-13B258822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0ACF7-A9A9-484E-8814-ADBF8F99BD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2026-10-05T18:14:40Z</dcterms:created>
  <dcterms:modified xsi:type="dcterms:W3CDTF">2026-10-06T12:04:17Z</dcterms:modified>
</cp:coreProperties>
</file>